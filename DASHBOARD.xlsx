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8_{0B8898BC-2E4D-40B8-839F-5E89C86E422F}" xr6:coauthVersionLast="47" xr6:coauthVersionMax="47" xr10:uidLastSave="{00000000-0000-0000-0000-000000000000}"/>
  <bookViews>
    <workbookView xWindow="-120" yWindow="-120" windowWidth="24240" windowHeight="13290" firstSheet="1" activeTab="7" xr2:uid="{B5B1839F-7C71-4373-AC0B-4B5C64335F81}"/>
  </bookViews>
  <sheets>
    <sheet name="product" sheetId="2" r:id="rId1"/>
    <sheet name="city" sheetId="3" r:id="rId2"/>
    <sheet name="state" sheetId="4" r:id="rId3"/>
    <sheet name="category" sheetId="5" r:id="rId4"/>
    <sheet name="sub_category" sheetId="6" r:id="rId5"/>
    <sheet name="region" sheetId="8" r:id="rId6"/>
    <sheet name="sales_data" sheetId="1" r:id="rId7"/>
    <sheet name="Dashboard" sheetId="7" r:id="rId8"/>
  </sheets>
  <definedNames>
    <definedName name="Slicer_Category">#N/A</definedName>
    <definedName name="Slicer_State">#N/A</definedName>
    <definedName name="Slicer_Sub_Catego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7" l="1"/>
  <c r="K5" i="7"/>
  <c r="C5" i="7"/>
</calcChain>
</file>

<file path=xl/sharedStrings.xml><?xml version="1.0" encoding="utf-8"?>
<sst xmlns="http://schemas.openxmlformats.org/spreadsheetml/2006/main" count="226" uniqueCount="90">
  <si>
    <t>Date</t>
  </si>
  <si>
    <t>Order_ID</t>
  </si>
  <si>
    <t>Customer_Name</t>
  </si>
  <si>
    <t>City</t>
  </si>
  <si>
    <t>State</t>
  </si>
  <si>
    <t>Product</t>
  </si>
  <si>
    <t>Category</t>
  </si>
  <si>
    <t>Sub_Category</t>
  </si>
  <si>
    <t>Quantity</t>
  </si>
  <si>
    <t>Price</t>
  </si>
  <si>
    <t>Sales</t>
  </si>
  <si>
    <t>Profit</t>
  </si>
  <si>
    <t>Region</t>
  </si>
  <si>
    <t>ORD001</t>
  </si>
  <si>
    <t>Amit Sharma</t>
  </si>
  <si>
    <t>Pune</t>
  </si>
  <si>
    <t>Maharashtra</t>
  </si>
  <si>
    <t>Laptop</t>
  </si>
  <si>
    <t>Electronics</t>
  </si>
  <si>
    <t>Computers</t>
  </si>
  <si>
    <t>West</t>
  </si>
  <si>
    <t>ORD002</t>
  </si>
  <si>
    <t>Neha Verma</t>
  </si>
  <si>
    <t>Mumbai</t>
  </si>
  <si>
    <t>Phone</t>
  </si>
  <si>
    <t>Mobiles</t>
  </si>
  <si>
    <t>ORD003</t>
  </si>
  <si>
    <t>Rahul Singh</t>
  </si>
  <si>
    <t>Delhi</t>
  </si>
  <si>
    <t>Chair</t>
  </si>
  <si>
    <t>Furniture</t>
  </si>
  <si>
    <t>Seating</t>
  </si>
  <si>
    <t>North</t>
  </si>
  <si>
    <t>ORD004</t>
  </si>
  <si>
    <t>Priya Mehta</t>
  </si>
  <si>
    <t>Bangalore</t>
  </si>
  <si>
    <t>Karnataka</t>
  </si>
  <si>
    <t>Table</t>
  </si>
  <si>
    <t>Tables</t>
  </si>
  <si>
    <t>South</t>
  </si>
  <si>
    <t>ORD005</t>
  </si>
  <si>
    <t>Ankit Jain</t>
  </si>
  <si>
    <t>Tablet</t>
  </si>
  <si>
    <t>Devices</t>
  </si>
  <si>
    <t>ORD006</t>
  </si>
  <si>
    <t>Sneha Patil</t>
  </si>
  <si>
    <t>Headphones</t>
  </si>
  <si>
    <t>Accessories</t>
  </si>
  <si>
    <t>ORD007</t>
  </si>
  <si>
    <t>Rohit Kumar</t>
  </si>
  <si>
    <t>Sofa</t>
  </si>
  <si>
    <t>ORD008</t>
  </si>
  <si>
    <t>Kajal Shah</t>
  </si>
  <si>
    <t>Monitor</t>
  </si>
  <si>
    <t>ORD009</t>
  </si>
  <si>
    <t>Arjun Nair</t>
  </si>
  <si>
    <t>Keyboard</t>
  </si>
  <si>
    <t>ORD010</t>
  </si>
  <si>
    <t>Pooja Gupta</t>
  </si>
  <si>
    <t>Mouse</t>
  </si>
  <si>
    <t>ORD011</t>
  </si>
  <si>
    <t>Manish Yadav</t>
  </si>
  <si>
    <t>Desk</t>
  </si>
  <si>
    <t>ORD012</t>
  </si>
  <si>
    <t>Divya Iyer</t>
  </si>
  <si>
    <t>ORD013</t>
  </si>
  <si>
    <t>Varun Kapoor</t>
  </si>
  <si>
    <t>ORD014</t>
  </si>
  <si>
    <t>Nisha Singh</t>
  </si>
  <si>
    <t>ORD015</t>
  </si>
  <si>
    <t>Deepak Sharma</t>
  </si>
  <si>
    <t>ORD016</t>
  </si>
  <si>
    <t>Ritu Agarwal</t>
  </si>
  <si>
    <t>ORD017</t>
  </si>
  <si>
    <t>Sachin Patil</t>
  </si>
  <si>
    <t>ORD018</t>
  </si>
  <si>
    <t>Meena Joshi</t>
  </si>
  <si>
    <t>ORD019</t>
  </si>
  <si>
    <t>Ashok Das</t>
  </si>
  <si>
    <t>ORD020</t>
  </si>
  <si>
    <t>Simran Kaur</t>
  </si>
  <si>
    <t>Row Labels</t>
  </si>
  <si>
    <t>Grand Total</t>
  </si>
  <si>
    <t>Sum of Sales</t>
  </si>
  <si>
    <t>SALES DASHBOARD</t>
  </si>
  <si>
    <t>TOTAL SALES</t>
  </si>
  <si>
    <t>TOTAL QUANTITY</t>
  </si>
  <si>
    <t>TOTAL PROFIT</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</si>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</sst>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Constantia"/>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7" tint="-0.249977111117893"/>
        <bgColor indexed="64"/>
      </patternFill>
    </fill>
    <fill>
      <patternFill patternType="solid">
        <fgColor theme="1"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11" xfId="0" applyBorder="1"/>
    <xf numFmtId="0" fontId="0" fillId="0" borderId="12" xfId="0" applyBorder="1"/>
    <xf numFmtId="0" fontId="0" fillId="0" borderId="13" xfId="0" applyBorder="1"/>
    <xf numFmtId="14" fontId="0" fillId="0" borderId="14" xfId="0" applyNumberFormat="1" applyBorder="1"/>
    <xf numFmtId="0" fontId="0" fillId="0" borderId="10" xfId="0" applyBorder="1"/>
    <xf numFmtId="0" fontId="0" fillId="0" borderId="15" xfId="0" applyBorder="1"/>
    <xf numFmtId="14" fontId="0" fillId="0" borderId="16" xfId="0" applyNumberFormat="1"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xf numFmtId="0" fontId="18" fillId="34" borderId="19" xfId="0" applyFont="1" applyFill="1" applyBorder="1" applyAlignment="1">
      <alignment horizontal="center" vertical="center"/>
    </xf>
    <xf numFmtId="0" fontId="18" fillId="34" borderId="20" xfId="0" applyFont="1" applyFill="1" applyBorder="1" applyAlignment="1">
      <alignment horizontal="center" vertical="center"/>
    </xf>
    <xf numFmtId="0" fontId="18" fillId="34" borderId="21" xfId="0" applyFont="1" applyFill="1" applyBorder="1" applyAlignment="1">
      <alignment horizontal="center" vertical="center"/>
    </xf>
    <xf numFmtId="0" fontId="18" fillId="34" borderId="22" xfId="0" applyFont="1" applyFill="1" applyBorder="1" applyAlignment="1">
      <alignment horizontal="center" vertical="center"/>
    </xf>
    <xf numFmtId="0" fontId="18" fillId="34" borderId="23" xfId="0" applyFont="1" applyFill="1" applyBorder="1" applyAlignment="1">
      <alignment horizontal="center" vertical="center"/>
    </xf>
    <xf numFmtId="0" fontId="18" fillId="34" borderId="24" xfId="0" applyFont="1" applyFill="1" applyBorder="1" applyAlignment="1">
      <alignment horizontal="center" vertical="center"/>
    </xf>
    <xf numFmtId="0" fontId="13" fillId="35" borderId="19" xfId="0" applyFont="1" applyFill="1" applyBorder="1" applyAlignment="1">
      <alignment horizontal="center"/>
    </xf>
    <xf numFmtId="0" fontId="13" fillId="35" borderId="20" xfId="0" applyFont="1" applyFill="1" applyBorder="1" applyAlignment="1">
      <alignment horizontal="center"/>
    </xf>
    <xf numFmtId="0" fontId="13" fillId="35" borderId="21" xfId="0" applyFont="1" applyFill="1" applyBorder="1" applyAlignment="1">
      <alignment horizontal="center"/>
    </xf>
    <xf numFmtId="0" fontId="13" fillId="35" borderId="22" xfId="0" applyFont="1" applyFill="1" applyBorder="1" applyAlignment="1">
      <alignment horizontal="center"/>
    </xf>
    <xf numFmtId="0" fontId="13" fillId="35" borderId="23" xfId="0" applyFont="1" applyFill="1" applyBorder="1" applyAlignment="1">
      <alignment horizontal="center"/>
    </xf>
    <xf numFmtId="0" fontId="13" fillId="35" borderId="24"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product!$A$4:$A$15</c:f>
              <c:strCache>
                <c:ptCount val="11"/>
                <c:pt idx="0">
                  <c:v>Chair</c:v>
                </c:pt>
                <c:pt idx="1">
                  <c:v>Desk</c:v>
                </c:pt>
                <c:pt idx="2">
                  <c:v>Headphones</c:v>
                </c:pt>
                <c:pt idx="3">
                  <c:v>Keyboard</c:v>
                </c:pt>
                <c:pt idx="4">
                  <c:v>Laptop</c:v>
                </c:pt>
                <c:pt idx="5">
                  <c:v>Monitor</c:v>
                </c:pt>
                <c:pt idx="6">
                  <c:v>Mouse</c:v>
                </c:pt>
                <c:pt idx="7">
                  <c:v>Phone</c:v>
                </c:pt>
                <c:pt idx="8">
                  <c:v>Sofa</c:v>
                </c:pt>
                <c:pt idx="9">
                  <c:v>Table</c:v>
                </c:pt>
                <c:pt idx="10">
                  <c:v>Tablet</c:v>
                </c:pt>
              </c:strCache>
            </c:strRef>
          </c:cat>
          <c:val>
            <c:numRef>
              <c:f>product!$B$4:$B$15</c:f>
              <c:numCache>
                <c:formatCode>General</c:formatCode>
                <c:ptCount val="11"/>
                <c:pt idx="0">
                  <c:v>22500</c:v>
                </c:pt>
                <c:pt idx="1">
                  <c:v>18000</c:v>
                </c:pt>
                <c:pt idx="2">
                  <c:v>10000</c:v>
                </c:pt>
                <c:pt idx="3">
                  <c:v>13800</c:v>
                </c:pt>
                <c:pt idx="4">
                  <c:v>170000</c:v>
                </c:pt>
                <c:pt idx="5">
                  <c:v>35000</c:v>
                </c:pt>
                <c:pt idx="6">
                  <c:v>15200</c:v>
                </c:pt>
                <c:pt idx="7">
                  <c:v>65000</c:v>
                </c:pt>
                <c:pt idx="8">
                  <c:v>42000</c:v>
                </c:pt>
                <c:pt idx="9">
                  <c:v>15000</c:v>
                </c:pt>
                <c:pt idx="10">
                  <c:v>73000</c:v>
                </c:pt>
              </c:numCache>
            </c:numRef>
          </c:val>
          <c:extLst>
            <c:ext xmlns:c16="http://schemas.microsoft.com/office/drawing/2014/chart" uri="{C3380CC4-5D6E-409C-BE32-E72D297353CC}">
              <c16:uniqueId val="{00000000-E034-462A-88AB-07BD749A5413}"/>
            </c:ext>
          </c:extLst>
        </c:ser>
        <c:dLbls>
          <c:dLblPos val="outEnd"/>
          <c:showLegendKey val="0"/>
          <c:showVal val="1"/>
          <c:showCatName val="0"/>
          <c:showSerName val="0"/>
          <c:showPercent val="0"/>
          <c:showBubbleSize val="0"/>
        </c:dLbls>
        <c:gapWidth val="115"/>
        <c:overlap val="-20"/>
        <c:axId val="787253247"/>
        <c:axId val="787254207"/>
      </c:barChart>
      <c:catAx>
        <c:axId val="787253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54207"/>
        <c:crosses val="autoZero"/>
        <c:auto val="1"/>
        <c:lblAlgn val="ctr"/>
        <c:lblOffset val="100"/>
        <c:noMultiLvlLbl val="0"/>
      </c:catAx>
      <c:valAx>
        <c:axId val="7872542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[DASHBOARD.xlsx]city!PivotTable2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city!$A$4:$A$8</c:f>
              <c:strCache>
                <c:ptCount val="4"/>
                <c:pt idx="0">
                  <c:v>Bangalore</c:v>
                </c:pt>
                <c:pt idx="1">
                  <c:v>Delhi</c:v>
                </c:pt>
                <c:pt idx="2">
                  <c:v>Mumbai</c:v>
                </c:pt>
                <c:pt idx="3">
                  <c:v>Pune</c:v>
                </c:pt>
              </c:strCache>
            </c:strRef>
          </c:cat>
          <c:val>
            <c:numRef>
              <c:f>city!$B$4:$B$8</c:f>
              <c:numCache>
                <c:formatCode>General</c:formatCode>
                <c:ptCount val="4"/>
                <c:pt idx="0">
                  <c:v>126200</c:v>
                </c:pt>
                <c:pt idx="1">
                  <c:v>80000</c:v>
                </c:pt>
                <c:pt idx="2">
                  <c:v>58300</c:v>
                </c:pt>
                <c:pt idx="3">
                  <c:v>215000</c:v>
                </c:pt>
              </c:numCache>
            </c:numRef>
          </c:val>
          <c:extLst>
            <c:ext xmlns:c16="http://schemas.microsoft.com/office/drawing/2014/chart" uri="{C3380CC4-5D6E-409C-BE32-E72D297353CC}">
              <c16:uniqueId val="{00000000-6F4F-43D5-8086-82392FCAC2EF}"/>
            </c:ext>
          </c:extLst>
        </c:ser>
        <c:dLbls>
          <c:dLblPos val="ctr"/>
          <c:showLegendKey val="0"/>
          <c:showVal val="1"/>
          <c:showCatName val="0"/>
          <c:showSerName val="0"/>
          <c:showPercent val="0"/>
          <c:showBubbleSize val="0"/>
        </c:dLbls>
        <c:gapWidth val="150"/>
        <c:overlap val="100"/>
        <c:axId val="874325919"/>
        <c:axId val="874320639"/>
      </c:barChart>
      <c:catAx>
        <c:axId val="874325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20639"/>
        <c:crosses val="autoZero"/>
        <c:auto val="1"/>
        <c:lblAlgn val="ctr"/>
        <c:lblOffset val="100"/>
        <c:noMultiLvlLbl val="0"/>
      </c:catAx>
      <c:valAx>
        <c:axId val="874320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2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[DASHBOARD.xlsx]state!PivotTable3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state!$B$3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B9-4FC2-A37C-A801C7109A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B9-4FC2-A37C-A801C7109A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B9-4FC2-A37C-A801C7109A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state!$A$4:$A$7</c:f>
              <c:strCache>
                <c:ptCount val="3"/>
                <c:pt idx="0">
                  <c:v>Delhi</c:v>
                </c:pt>
                <c:pt idx="1">
                  <c:v>Karnataka</c:v>
                </c:pt>
                <c:pt idx="2">
                  <c:v>Maharashtra</c:v>
                </c:pt>
              </c:strCache>
            </c:strRef>
          </c:cat>
          <c:val>
            <c:numRef>
              <c:f>state!$B$4:$B$7</c:f>
              <c:numCache>
                <c:formatCode>General</c:formatCode>
                <c:ptCount val="3"/>
                <c:pt idx="0">
                  <c:v>80000</c:v>
                </c:pt>
                <c:pt idx="1">
                  <c:v>126200</c:v>
                </c:pt>
                <c:pt idx="2">
                  <c:v>273300</c:v>
                </c:pt>
              </c:numCache>
            </c:numRef>
          </c:val>
          <c:extLst>
            <c:ext xmlns:c16="http://schemas.microsoft.com/office/drawing/2014/chart" uri="{C3380CC4-5D6E-409C-BE32-E72D297353CC}">
              <c16:uniqueId val="{00000006-D8B9-4FC2-A37C-A801C7109A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[DASHBOARD.xlsx]sub_category!PivotTable5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sub_category!$A$4:$A$10</c:f>
              <c:strCache>
                <c:ptCount val="6"/>
                <c:pt idx="0">
                  <c:v>Accessories</c:v>
                </c:pt>
                <c:pt idx="1">
                  <c:v>Computers</c:v>
                </c:pt>
                <c:pt idx="2">
                  <c:v>Devices</c:v>
                </c:pt>
                <c:pt idx="3">
                  <c:v>Mobiles</c:v>
                </c:pt>
                <c:pt idx="4">
                  <c:v>Seating</c:v>
                </c:pt>
                <c:pt idx="5">
                  <c:v>Tables</c:v>
                </c:pt>
              </c:strCache>
            </c:strRef>
          </c:cat>
          <c:val>
            <c:numRef>
              <c:f>sub_category!$B$4:$B$10</c:f>
              <c:numCache>
                <c:formatCode>General</c:formatCode>
                <c:ptCount val="6"/>
                <c:pt idx="0">
                  <c:v>39000</c:v>
                </c:pt>
                <c:pt idx="1">
                  <c:v>205000</c:v>
                </c:pt>
                <c:pt idx="2">
                  <c:v>73000</c:v>
                </c:pt>
                <c:pt idx="3">
                  <c:v>65000</c:v>
                </c:pt>
                <c:pt idx="4">
                  <c:v>64500</c:v>
                </c:pt>
                <c:pt idx="5">
                  <c:v>33000</c:v>
                </c:pt>
              </c:numCache>
            </c:numRef>
          </c:val>
          <c:extLst>
            <c:ext xmlns:c16="http://schemas.microsoft.com/office/drawing/2014/chart" uri="{C3380CC4-5D6E-409C-BE32-E72D297353CC}">
              <c16:uniqueId val="{00000000-F9F4-47A5-BB19-A8766FA9D695}"/>
            </c:ext>
          </c:extLst>
        </c:ser>
        <c:dLbls>
          <c:dLblPos val="outEnd"/>
          <c:showLegendKey val="0"/>
          <c:showVal val="1"/>
          <c:showCatName val="0"/>
          <c:showSerName val="0"/>
          <c:showPercent val="0"/>
          <c:showBubbleSize val="0"/>
        </c:dLbls>
        <c:gapWidth val="100"/>
        <c:overlap val="-24"/>
        <c:axId val="874332639"/>
        <c:axId val="874345599"/>
      </c:barChart>
      <c:catAx>
        <c:axId val="87433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45599"/>
        <c:crosses val="autoZero"/>
        <c:auto val="1"/>
        <c:lblAlgn val="ctr"/>
        <c:lblOffset val="100"/>
        <c:noMultiLvlLbl val="0"/>
      </c:catAx>
      <c:valAx>
        <c:axId val="87434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region!$A$2:$A$5</c:f>
              <c:strCache>
                <c:ptCount val="3"/>
                <c:pt idx="0">
                  <c:v>North</c:v>
                </c:pt>
                <c:pt idx="1">
                  <c:v>South</c:v>
                </c:pt>
                <c:pt idx="2">
                  <c:v>West</c:v>
                </c:pt>
              </c:strCache>
            </c:strRef>
          </c:cat>
          <c:val>
            <c:numRef>
              <c:f>region!$B$2:$B$5</c:f>
              <c:numCache>
                <c:formatCode>General</c:formatCode>
                <c:ptCount val="3"/>
                <c:pt idx="0">
                  <c:v>80000</c:v>
                </c:pt>
                <c:pt idx="1">
                  <c:v>126200</c:v>
                </c:pt>
                <c:pt idx="2">
                  <c:v>273300</c:v>
                </c:pt>
              </c:numCache>
            </c:numRef>
          </c:val>
          <c:extLst>
            <c:ext xmlns:c16="http://schemas.microsoft.com/office/drawing/2014/chart" uri="{C3380CC4-5D6E-409C-BE32-E72D297353CC}">
              <c16:uniqueId val="{00000000-B1B4-4FE3-81A8-FCDEB5C70288}"/>
            </c:ext>
          </c:extLst>
        </c:ser>
        <c:dLbls>
          <c:dLblPos val="outEnd"/>
          <c:showLegendKey val="0"/>
          <c:showVal val="1"/>
          <c:showCatName val="0"/>
          <c:showSerName val="0"/>
          <c:showPercent val="0"/>
          <c:showBubbleSize val="0"/>
        </c:dLbls>
        <c:gapWidth val="100"/>
        <c:overlap val="-24"/>
        <c:axId val="411585135"/>
        <c:axId val="411594735"/>
      </c:barChart>
      <c:catAx>
        <c:axId val="411585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594735"/>
        <c:crosses val="autoZero"/>
        <c:auto val="1"/>
        <c:lblAlgn val="ctr"/>
        <c:lblOffset val="100"/>
        <c:noMultiLvlLbl val="0"/>
      </c:catAx>
      <c:valAx>
        <c:axId val="411594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58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category!$A$4:$A$6</c:f>
              <c:strCache>
                <c:ptCount val="2"/>
                <c:pt idx="0">
                  <c:v>Electronics</c:v>
                </c:pt>
                <c:pt idx="1">
                  <c:v>Furniture</c:v>
                </c:pt>
              </c:strCache>
            </c:strRef>
          </c:cat>
          <c:val>
            <c:numRef>
              <c:f>category!$B$4:$B$6</c:f>
              <c:numCache>
                <c:formatCode>General</c:formatCode>
                <c:ptCount val="2"/>
                <c:pt idx="0">
                  <c:v>382000</c:v>
                </c:pt>
                <c:pt idx="1">
                  <c:v>97500</c:v>
                </c:pt>
              </c:numCache>
            </c:numRef>
          </c:val>
          <c:extLst>
            <c:ext xmlns:c16="http://schemas.microsoft.com/office/drawing/2014/chart" uri="{C3380CC4-5D6E-409C-BE32-E72D297353CC}">
              <c16:uniqueId val="{00000000-6991-4E84-B950-7D6A60C44183}"/>
            </c:ext>
          </c:extLst>
        </c:ser>
        <c:dLbls>
          <c:showLegendKey val="0"/>
          <c:showVal val="0"/>
          <c:showCatName val="0"/>
          <c:showSerName val="0"/>
          <c:showPercent val="0"/>
          <c:showBubbleSize val="0"/>
        </c:dLbls>
        <c:gapWidth val="150"/>
        <c:shape val="box"/>
        <c:axId val="1108933248"/>
        <c:axId val="1101494752"/>
        <c:axId val="0"/>
      </c:bar3DChart>
      <c:catAx>
        <c:axId val="110893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94752"/>
        <c:crosses val="autoZero"/>
        <c:auto val="1"/>
        <c:lblAlgn val="ctr"/>
        <c:lblOffset val="100"/>
        <c:noMultiLvlLbl val="0"/>
      </c:catAx>
      <c:valAx>
        <c:axId val="11014947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93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457199</xdr:colOff>
      <xdr:row>5</xdr:row>
      <xdr:rowOff>161925</xdr:rowOff>
    </xdr:from>
    <xdr:to>
      <xdr:col>16</xdr:col>
      <xdr:colOff>123825</xdr:colOff>
      <xdr:row>20</xdr:row>
      <xdr:rowOff>47625</xdr:rowOff>
    </xdr:to>
    <xdr:graphicFrame macro="">
      <xdr:nvGraphicFramePr>
        <xdr:cNvPr id="2" name="Chart 1">
          <a:extLst>
            <a:ext uri="{FF2B5EF4-FFF2-40B4-BE49-F238E27FC236}">
              <a16:creationId xmlns:a16="http://schemas.microsoft.com/office/drawing/2014/main" id="{94950F27-6D3E-4FBF-9FAC-CA49F3A62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114303</xdr:colOff>
      <xdr:row>20</xdr:row>
      <xdr:rowOff>76200</xdr:rowOff>
    </xdr:from>
    <xdr:to>
      <xdr:col>18</xdr:col>
      <xdr:colOff>457201</xdr:colOff>
      <xdr:row>34</xdr:row>
      <xdr:rowOff>152400</xdr:rowOff>
    </xdr:to>
    <xdr:graphicFrame macro="">
      <xdr:nvGraphicFramePr>
        <xdr:cNvPr id="3" name="Chart 2">
          <a:extLst>
            <a:ext uri="{FF2B5EF4-FFF2-40B4-BE49-F238E27FC236}">
              <a16:creationId xmlns:a16="http://schemas.microsoft.com/office/drawing/2014/main" id="{103CDDEB-6C13-4036-9321-E5C04B20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xdr:row>
      <xdr:rowOff>171450</xdr:rowOff>
    </xdr:from>
    <xdr:to>
      <xdr:col>5</xdr:col>
      <xdr:colOff>438150</xdr:colOff>
      <xdr:row>20</xdr:row>
      <xdr:rowOff>57150</xdr:rowOff>
    </xdr:to>
    <xdr:graphicFrame macro="">
      <xdr:nvGraphicFramePr>
        <xdr:cNvPr id="4" name="Chart 3">
          <a:extLst>
            <a:ext uri="{FF2B5EF4-FFF2-40B4-BE49-F238E27FC236}">
              <a16:creationId xmlns:a16="http://schemas.microsoft.com/office/drawing/2014/main" id="{73ADE7CA-3993-4501-9731-136FB0B3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20</xdr:row>
      <xdr:rowOff>85725</xdr:rowOff>
    </xdr:from>
    <xdr:to>
      <xdr:col>13</xdr:col>
      <xdr:colOff>95250</xdr:colOff>
      <xdr:row>34</xdr:row>
      <xdr:rowOff>161925</xdr:rowOff>
    </xdr:to>
    <xdr:graphicFrame macro="">
      <xdr:nvGraphicFramePr>
        <xdr:cNvPr id="6" name="Chart 5">
          <a:extLst>
            <a:ext uri="{FF2B5EF4-FFF2-40B4-BE49-F238E27FC236}">
              <a16:creationId xmlns:a16="http://schemas.microsoft.com/office/drawing/2014/main" id="{80D2F84F-6C3B-40EB-950A-EF1BEB1DD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323849</xdr:colOff>
      <xdr:row>5</xdr:row>
      <xdr:rowOff>152401</xdr:rowOff>
    </xdr:from>
    <xdr:to>
      <xdr:col>24</xdr:col>
      <xdr:colOff>28574</xdr:colOff>
      <xdr:row>20</xdr:row>
      <xdr:rowOff>28575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33EE116C-132E-DC22-5896-071937B51F0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125449" y="1133476"/>
              <a:ext cx="1533525" cy="2733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5</xdr:row>
      <xdr:rowOff>161925</xdr:rowOff>
    </xdr:from>
    <xdr:to>
      <xdr:col>18</xdr:col>
      <xdr:colOff>552450</xdr:colOff>
      <xdr:row>20</xdr:row>
      <xdr:rowOff>38100</xdr:rowOff>
    </xdr:to>
    <mc:AlternateContent xmlns:mc="http://schemas.openxmlformats.org/markup-compatibility/2006" xmlns:a14="http://schemas.microsoft.com/office/drawing/2010/main">
      <mc:Choice Requires="a14">
        <xdr:graphicFrame macro="">
          <xdr:nvGraphicFramePr>
            <xdr:cNvPr id="9" name="Sub_Category">
              <a:extLst>
                <a:ext uri="{FF2B5EF4-FFF2-40B4-BE49-F238E27FC236}">
                  <a16:creationId xmlns:a16="http://schemas.microsoft.com/office/drawing/2014/main" id="{518D8132-6A52-3BC7-E95A-5F9A77C4282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9896475" y="1143000"/>
              <a:ext cx="1628775"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476250</xdr:colOff>
      <xdr:row>20</xdr:row>
      <xdr:rowOff>76200</xdr:rowOff>
    </xdr:from>
    <xdr:to>
      <xdr:col>24</xdr:col>
      <xdr:colOff>47625</xdr:colOff>
      <xdr:row>34</xdr:row>
      <xdr:rowOff>152400</xdr:rowOff>
    </xdr:to>
    <xdr:graphicFrame macro="">
      <xdr:nvGraphicFramePr>
        <xdr:cNvPr id="8" name="Chart 7">
          <a:extLst>
            <a:ext uri="{FF2B5EF4-FFF2-40B4-BE49-F238E27FC236}">
              <a16:creationId xmlns:a16="http://schemas.microsoft.com/office/drawing/2014/main" id="{F5E90D6D-7BB5-4E64-80E8-87DB18F3E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20</xdr:row>
      <xdr:rowOff>85725</xdr:rowOff>
    </xdr:from>
    <xdr:to>
      <xdr:col>5</xdr:col>
      <xdr:colOff>438150</xdr:colOff>
      <xdr:row>34</xdr:row>
      <xdr:rowOff>161925</xdr:rowOff>
    </xdr:to>
    <xdr:graphicFrame macro="">
      <xdr:nvGraphicFramePr>
        <xdr:cNvPr id="11" name="Chart 10">
          <a:extLst>
            <a:ext uri="{FF2B5EF4-FFF2-40B4-BE49-F238E27FC236}">
              <a16:creationId xmlns:a16="http://schemas.microsoft.com/office/drawing/2014/main" id="{CEC2C6ED-B69D-4D65-905F-8A0691E0A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561975</xdr:colOff>
      <xdr:row>5</xdr:row>
      <xdr:rowOff>161924</xdr:rowOff>
    </xdr:from>
    <xdr:to>
      <xdr:col>21</xdr:col>
      <xdr:colOff>304800</xdr:colOff>
      <xdr:row>20</xdr:row>
      <xdr:rowOff>38099</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0BB593FF-604E-1DD2-BE0A-76FB80012E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34775" y="1142999"/>
              <a:ext cx="1571625"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Akmal" refreshedDate="46147.671053240738" createdVersion="8" refreshedVersion="8" minRefreshableVersion="3" recordCount="20" xr:uid="{25B56EC6-7A9A-4B8B-930F-75DD56B269BE}">
  <cacheSource type="worksheet">
    <worksheetSource name="Table1"/>
  </cacheSource>
  <cacheFields count="13">
    <cacheField name="Date" numFmtId="14">
      <sharedItems containsSemiMixedTypes="0" containsNonDate="0" containsDate="1" containsString="0" minDate="2024-01-01T00:00:00" maxDate="2024-01-21T00:00:00"/>
    </cacheField>
    <cacheField name="Order_ID" numFmtId="0">
      <sharedItems/>
    </cacheField>
    <cacheField name="Customer_Name" numFmtId="0">
      <sharedItems/>
    </cacheField>
    <cacheField name="City" numFmtId="0">
      <sharedItems count="4">
        <s v="Pune"/>
        <s v="Mumbai"/>
        <s v="Delhi"/>
        <s v="Bangalore"/>
      </sharedItems>
    </cacheField>
    <cacheField name="State" numFmtId="0">
      <sharedItems count="3">
        <s v="Maharashtra"/>
        <s v="Delhi"/>
        <s v="Karnataka"/>
      </sharedItems>
    </cacheField>
    <cacheField name="Product" numFmtId="0">
      <sharedItems count="11">
        <s v="Laptop"/>
        <s v="Phone"/>
        <s v="Chair"/>
        <s v="Table"/>
        <s v="Tablet"/>
        <s v="Headphones"/>
        <s v="Sofa"/>
        <s v="Monitor"/>
        <s v="Keyboard"/>
        <s v="Mouse"/>
        <s v="Desk"/>
      </sharedItems>
    </cacheField>
    <cacheField name="Category" numFmtId="0">
      <sharedItems count="2">
        <s v="Electronics"/>
        <s v="Furniture"/>
      </sharedItems>
    </cacheField>
    <cacheField name="Sub_Category" numFmtId="0">
      <sharedItems count="6">
        <s v="Computers"/>
        <s v="Mobiles"/>
        <s v="Seating"/>
        <s v="Tables"/>
        <s v="Devices"/>
        <s v="Accessories"/>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800" maxValue="60000"/>
    </cacheField>
    <cacheField name="Sales" numFmtId="0">
      <sharedItems containsSemiMixedTypes="0" containsString="0" containsNumber="1" containsInteger="1" minValue="4800" maxValue="110000"/>
    </cacheField>
    <cacheField name="Profit" numFmtId="0">
      <sharedItems containsSemiMixedTypes="0" containsString="0" containsNumber="1" containsInteger="1" minValue="480" maxValue="11000"/>
    </cacheField>
    <cacheField name="Region" numFmtId="0">
      <sharedItems count="3">
        <s v="West"/>
        <s v="North"/>
        <s v="South"/>
      </sharedItems>
    </cacheField>
  </cacheFields>
  <extLst>
    <ext xmlns:x14="http://schemas.microsoft.com/office/spreadsheetml/2009/9/main" uri="{725AE2AE-9491-48be-B2B4-4EB974FC3084}">
      <x14:pivotCacheDefinition pivotCacheId="508314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ORD001"/>
    <s v="Amit Sharma"/>
    <x v="0"/>
    <x v="0"/>
    <x v="0"/>
    <x v="0"/>
    <x v="0"/>
    <n v="2"/>
    <n v="55000"/>
    <n v="110000"/>
    <n v="11000"/>
    <x v="0"/>
  </r>
  <r>
    <d v="2024-01-02T00:00:00"/>
    <s v="ORD002"/>
    <s v="Neha Verma"/>
    <x v="1"/>
    <x v="0"/>
    <x v="1"/>
    <x v="0"/>
    <x v="1"/>
    <n v="1"/>
    <n v="25000"/>
    <n v="25000"/>
    <n v="2500"/>
    <x v="0"/>
  </r>
  <r>
    <d v="2024-01-03T00:00:00"/>
    <s v="ORD003"/>
    <s v="Rahul Singh"/>
    <x v="2"/>
    <x v="1"/>
    <x v="2"/>
    <x v="1"/>
    <x v="2"/>
    <n v="4"/>
    <n v="3000"/>
    <n v="12000"/>
    <n v="1200"/>
    <x v="1"/>
  </r>
  <r>
    <d v="2024-01-04T00:00:00"/>
    <s v="ORD004"/>
    <s v="Priya Mehta"/>
    <x v="3"/>
    <x v="2"/>
    <x v="3"/>
    <x v="1"/>
    <x v="3"/>
    <n v="1"/>
    <n v="7000"/>
    <n v="7000"/>
    <n v="700"/>
    <x v="2"/>
  </r>
  <r>
    <d v="2024-01-05T00:00:00"/>
    <s v="ORD005"/>
    <s v="Ankit Jain"/>
    <x v="0"/>
    <x v="0"/>
    <x v="4"/>
    <x v="0"/>
    <x v="4"/>
    <n v="3"/>
    <n v="15000"/>
    <n v="45000"/>
    <n v="4500"/>
    <x v="0"/>
  </r>
  <r>
    <d v="2024-01-06T00:00:00"/>
    <s v="ORD006"/>
    <s v="Sneha Patil"/>
    <x v="1"/>
    <x v="0"/>
    <x v="5"/>
    <x v="0"/>
    <x v="5"/>
    <n v="5"/>
    <n v="2000"/>
    <n v="10000"/>
    <n v="1000"/>
    <x v="0"/>
  </r>
  <r>
    <d v="2024-01-07T00:00:00"/>
    <s v="ORD007"/>
    <s v="Rohit Kumar"/>
    <x v="2"/>
    <x v="1"/>
    <x v="6"/>
    <x v="1"/>
    <x v="2"/>
    <n v="1"/>
    <n v="20000"/>
    <n v="20000"/>
    <n v="2000"/>
    <x v="1"/>
  </r>
  <r>
    <d v="2024-01-08T00:00:00"/>
    <s v="ORD008"/>
    <s v="Kajal Shah"/>
    <x v="3"/>
    <x v="2"/>
    <x v="7"/>
    <x v="0"/>
    <x v="0"/>
    <n v="2"/>
    <n v="12000"/>
    <n v="24000"/>
    <n v="2400"/>
    <x v="2"/>
  </r>
  <r>
    <d v="2024-01-09T00:00:00"/>
    <s v="ORD009"/>
    <s v="Arjun Nair"/>
    <x v="0"/>
    <x v="0"/>
    <x v="8"/>
    <x v="0"/>
    <x v="5"/>
    <n v="6"/>
    <n v="1500"/>
    <n v="9000"/>
    <n v="900"/>
    <x v="0"/>
  </r>
  <r>
    <d v="2024-01-10T00:00:00"/>
    <s v="ORD010"/>
    <s v="Pooja Gupta"/>
    <x v="1"/>
    <x v="0"/>
    <x v="9"/>
    <x v="0"/>
    <x v="5"/>
    <n v="10"/>
    <n v="800"/>
    <n v="8000"/>
    <n v="800"/>
    <x v="0"/>
  </r>
  <r>
    <d v="2024-01-11T00:00:00"/>
    <s v="ORD011"/>
    <s v="Manish Yadav"/>
    <x v="2"/>
    <x v="1"/>
    <x v="10"/>
    <x v="1"/>
    <x v="3"/>
    <n v="2"/>
    <n v="9000"/>
    <n v="18000"/>
    <n v="1800"/>
    <x v="1"/>
  </r>
  <r>
    <d v="2024-01-12T00:00:00"/>
    <s v="ORD012"/>
    <s v="Divya Iyer"/>
    <x v="3"/>
    <x v="2"/>
    <x v="0"/>
    <x v="0"/>
    <x v="0"/>
    <n v="1"/>
    <n v="60000"/>
    <n v="60000"/>
    <n v="6000"/>
    <x v="2"/>
  </r>
  <r>
    <d v="2024-01-13T00:00:00"/>
    <s v="ORD013"/>
    <s v="Varun Kapoor"/>
    <x v="0"/>
    <x v="0"/>
    <x v="1"/>
    <x v="0"/>
    <x v="1"/>
    <n v="2"/>
    <n v="20000"/>
    <n v="40000"/>
    <n v="4000"/>
    <x v="0"/>
  </r>
  <r>
    <d v="2024-01-14T00:00:00"/>
    <s v="ORD014"/>
    <s v="Nisha Singh"/>
    <x v="1"/>
    <x v="0"/>
    <x v="2"/>
    <x v="1"/>
    <x v="2"/>
    <n v="3"/>
    <n v="3500"/>
    <n v="10500"/>
    <n v="1050"/>
    <x v="0"/>
  </r>
  <r>
    <d v="2024-01-15T00:00:00"/>
    <s v="ORD015"/>
    <s v="Deepak Sharma"/>
    <x v="2"/>
    <x v="1"/>
    <x v="3"/>
    <x v="1"/>
    <x v="3"/>
    <n v="1"/>
    <n v="8000"/>
    <n v="8000"/>
    <n v="800"/>
    <x v="1"/>
  </r>
  <r>
    <d v="2024-01-16T00:00:00"/>
    <s v="ORD016"/>
    <s v="Ritu Agarwal"/>
    <x v="3"/>
    <x v="2"/>
    <x v="4"/>
    <x v="0"/>
    <x v="4"/>
    <n v="2"/>
    <n v="14000"/>
    <n v="28000"/>
    <n v="2800"/>
    <x v="2"/>
  </r>
  <r>
    <d v="2024-01-17T00:00:00"/>
    <s v="ORD017"/>
    <s v="Sachin Patil"/>
    <x v="0"/>
    <x v="0"/>
    <x v="7"/>
    <x v="0"/>
    <x v="0"/>
    <n v="1"/>
    <n v="11000"/>
    <n v="11000"/>
    <n v="1100"/>
    <x v="0"/>
  </r>
  <r>
    <d v="2024-01-18T00:00:00"/>
    <s v="ORD018"/>
    <s v="Meena Joshi"/>
    <x v="1"/>
    <x v="0"/>
    <x v="8"/>
    <x v="0"/>
    <x v="5"/>
    <n v="4"/>
    <n v="1200"/>
    <n v="4800"/>
    <n v="480"/>
    <x v="0"/>
  </r>
  <r>
    <d v="2024-01-19T00:00:00"/>
    <s v="ORD019"/>
    <s v="Ashok Das"/>
    <x v="2"/>
    <x v="1"/>
    <x v="6"/>
    <x v="1"/>
    <x v="2"/>
    <n v="1"/>
    <n v="22000"/>
    <n v="22000"/>
    <n v="2200"/>
    <x v="1"/>
  </r>
  <r>
    <d v="2024-01-20T00:00:00"/>
    <s v="ORD020"/>
    <s v="Simran Kaur"/>
    <x v="3"/>
    <x v="2"/>
    <x v="9"/>
    <x v="0"/>
    <x v="5"/>
    <n v="8"/>
    <n v="900"/>
    <n v="7200"/>
    <n v="72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34808-7DCC-41E5-9984-D01273888F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3">
    <pivotField numFmtId="14" showAll="0"/>
    <pivotField showAll="0"/>
    <pivotField showAll="0"/>
    <pivotField showAll="0"/>
    <pivotField showAll="0">
      <items count="4">
        <item x="1"/>
        <item x="2"/>
        <item x="0"/>
        <item t="default"/>
      </items>
    </pivotField>
    <pivotField axis="axisRow" showAll="0">
      <items count="12">
        <item x="2"/>
        <item x="10"/>
        <item x="5"/>
        <item x="8"/>
        <item x="0"/>
        <item x="7"/>
        <item x="9"/>
        <item x="1"/>
        <item x="6"/>
        <item x="3"/>
        <item x="4"/>
        <item t="default"/>
      </items>
    </pivotField>
    <pivotField showAll="0">
      <items count="3">
        <item x="0"/>
        <item x="1"/>
        <item t="default"/>
      </items>
    </pivotField>
    <pivotField showAll="0">
      <items count="7">
        <item x="5"/>
        <item x="0"/>
        <item x="4"/>
        <item x="1"/>
        <item x="2"/>
        <item x="3"/>
        <item t="default"/>
      </items>
    </pivotField>
    <pivotField showAll="0"/>
    <pivotField showAll="0"/>
    <pivotField dataField="1"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2BFAF-FFC0-4B34-BC50-26F7CBC49A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numFmtId="14" showAll="0"/>
    <pivotField showAll="0"/>
    <pivotField showAll="0"/>
    <pivotField axis="axisRow" showAll="0">
      <items count="5">
        <item x="3"/>
        <item x="2"/>
        <item x="1"/>
        <item x="0"/>
        <item t="default"/>
      </items>
    </pivotField>
    <pivotField showAll="0">
      <items count="4">
        <item x="1"/>
        <item x="2"/>
        <item x="0"/>
        <item t="default"/>
      </items>
    </pivotField>
    <pivotField showAll="0"/>
    <pivotField showAll="0">
      <items count="3">
        <item x="0"/>
        <item x="1"/>
        <item t="default"/>
      </items>
    </pivotField>
    <pivotField showAll="0">
      <items count="7">
        <item x="5"/>
        <item x="0"/>
        <item x="4"/>
        <item x="1"/>
        <item x="2"/>
        <item x="3"/>
        <item t="default"/>
      </items>
    </pivotField>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E55FF-C359-4E93-82B2-27CD23239A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numFmtId="14" showAll="0"/>
    <pivotField showAll="0"/>
    <pivotField showAll="0"/>
    <pivotField showAll="0"/>
    <pivotField axis="axisRow" showAll="0">
      <items count="4">
        <item x="1"/>
        <item x="2"/>
        <item x="0"/>
        <item t="default"/>
      </items>
    </pivotField>
    <pivotField showAll="0"/>
    <pivotField showAll="0">
      <items count="3">
        <item x="0"/>
        <item x="1"/>
        <item t="default"/>
      </items>
    </pivotField>
    <pivotField showAll="0">
      <items count="7">
        <item x="5"/>
        <item x="0"/>
        <item x="4"/>
        <item x="1"/>
        <item x="2"/>
        <item x="3"/>
        <item t="default"/>
      </items>
    </pivotField>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005D0-8058-4B1C-B4B5-3FD8C9745C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3">
    <pivotField numFmtId="14" showAll="0"/>
    <pivotField showAll="0"/>
    <pivotField showAll="0"/>
    <pivotField showAll="0"/>
    <pivotField showAll="0">
      <items count="4">
        <item x="1"/>
        <item x="2"/>
        <item x="0"/>
        <item t="default"/>
      </items>
    </pivotField>
    <pivotField showAll="0"/>
    <pivotField axis="axisRow" showAll="0">
      <items count="3">
        <item x="0"/>
        <item x="1"/>
        <item t="default"/>
      </items>
    </pivotField>
    <pivotField showAll="0">
      <items count="7">
        <item x="5"/>
        <item x="0"/>
        <item x="4"/>
        <item x="1"/>
        <item x="2"/>
        <item x="3"/>
        <item t="default"/>
      </items>
    </pivotField>
    <pivotField showAll="0"/>
    <pivotField showAll="0"/>
    <pivotField dataField="1" showAll="0"/>
    <pivotField showAll="0"/>
    <pivotField showAll="0"/>
  </pivotFields>
  <rowFields count="1">
    <field x="6"/>
  </rowFields>
  <rowItems count="3">
    <i>
      <x/>
    </i>
    <i>
      <x v="1"/>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30C4B5-E347-4119-846F-FAFDD488BE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3">
    <pivotField numFmtId="14" showAll="0"/>
    <pivotField showAll="0"/>
    <pivotField showAll="0"/>
    <pivotField showAll="0"/>
    <pivotField showAll="0">
      <items count="4">
        <item x="1"/>
        <item x="2"/>
        <item x="0"/>
        <item t="default"/>
      </items>
    </pivotField>
    <pivotField showAll="0"/>
    <pivotField showAll="0">
      <items count="3">
        <item x="0"/>
        <item x="1"/>
        <item t="default"/>
      </items>
    </pivotField>
    <pivotField axis="axisRow" showAll="0">
      <items count="7">
        <item x="5"/>
        <item x="0"/>
        <item x="4"/>
        <item x="1"/>
        <item x="2"/>
        <item x="3"/>
        <item t="default"/>
      </items>
    </pivotField>
    <pivotField showAll="0"/>
    <pivotField showAll="0"/>
    <pivotField dataField="1" showAll="0"/>
    <pivotField showAll="0"/>
    <pivotField showAll="0"/>
  </pivotFields>
  <rowFields count="1">
    <field x="7"/>
  </rowFields>
  <rowItems count="7">
    <i>
      <x/>
    </i>
    <i>
      <x v="1"/>
    </i>
    <i>
      <x v="2"/>
    </i>
    <i>
      <x v="3"/>
    </i>
    <i>
      <x v="4"/>
    </i>
    <i>
      <x v="5"/>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A12CFB-E7D4-4261-A2C4-224AAFF735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3">
    <pivotField numFmtId="14" showAll="0"/>
    <pivotField showAll="0"/>
    <pivotField showAll="0"/>
    <pivotField showAll="0"/>
    <pivotField showAll="0">
      <items count="4">
        <item x="1"/>
        <item x="2"/>
        <item x="0"/>
        <item t="default"/>
      </items>
    </pivotField>
    <pivotField showAll="0"/>
    <pivotField showAll="0">
      <items count="3">
        <item x="0"/>
        <item x="1"/>
        <item t="default"/>
      </items>
    </pivotField>
    <pivotField showAll="0">
      <items count="7">
        <item x="5"/>
        <item x="0"/>
        <item x="4"/>
        <item x="1"/>
        <item x="2"/>
        <item x="3"/>
        <item t="default"/>
      </items>
    </pivotField>
    <pivotField showAll="0"/>
    <pivotField showAll="0"/>
    <pivotField dataField="1" showAll="0"/>
    <pivotField showAll="0"/>
    <pivotField axis="axisRow" showAll="0">
      <items count="4">
        <item x="1"/>
        <item x="2"/>
        <item x="0"/>
        <item t="default"/>
      </items>
    </pivotField>
  </pivotFields>
  <rowFields count="1">
    <field x="12"/>
  </rowFields>
  <rowItems count="4">
    <i>
      <x/>
    </i>
    <i>
      <x v="1"/>
    </i>
    <i>
      <x v="2"/>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8626147-1ECA-4A16-9E8F-B714E154E05D}" sourceName="State">
  <pivotTables>
    <pivotTable tabId="5" name="PivotTable4"/>
    <pivotTable tabId="3" name="PivotTable2"/>
    <pivotTable tabId="2" name="PivotTable1"/>
    <pivotTable tabId="4" name="PivotTable3"/>
    <pivotTable tabId="6" name="PivotTable5"/>
    <pivotTable tabId="8" name="PivotTable1"/>
  </pivotTables>
  <data>
    <tabular pivotCacheId="50831419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D8DC115-0073-4F72-BE23-804B29021955}" sourceName="Sub_Category">
  <pivotTables>
    <pivotTable tabId="5" name="PivotTable4"/>
    <pivotTable tabId="3" name="PivotTable2"/>
    <pivotTable tabId="2" name="PivotTable1"/>
    <pivotTable tabId="4" name="PivotTable3"/>
    <pivotTable tabId="6" name="PivotTable5"/>
    <pivotTable tabId="8" name="PivotTable1"/>
  </pivotTables>
  <data>
    <tabular pivotCacheId="508314191">
      <items count="6">
        <i x="5" s="1"/>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4A1FEF-5BD7-4F54-9807-3DDA73A6BDA9}" sourceName="Category">
  <pivotTables>
    <pivotTable tabId="5" name="PivotTable4"/>
    <pivotTable tabId="3" name="PivotTable2"/>
    <pivotTable tabId="2" name="PivotTable1"/>
    <pivotTable tabId="8" name="PivotTable1"/>
    <pivotTable tabId="4" name="PivotTable3"/>
    <pivotTable tabId="6" name="PivotTable5"/>
  </pivotTables>
  <data>
    <tabular pivotCacheId="5083141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EC9523E-C902-4823-8D5C-D02663FD433D}" cache="Slicer_State" caption="State" style="SlicerStyleDark1" rowHeight="257175"/>
  <slicer name="Sub_Category" xr10:uid="{E97442E6-896B-429C-8597-DB400778733B}" cache="Slicer_Sub_Category" caption="Sub_Category" style="SlicerStyleDark1" rowHeight="257175"/>
  <slicer name="Category" xr10:uid="{5EB6393B-AC81-45CE-A9E5-B6BA9AD6DE6C}"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5BE91-8C16-4DB6-8BCF-BA2D96D49360}" name="Table1" displayName="Table1" ref="A1:M21" totalsRowShown="0" headerRowDxfId="16" headerRowBorderDxfId="15" tableBorderDxfId="14" totalsRowBorderDxfId="13">
  <tableColumns count="13">
    <tableColumn id="1" xr3:uid="{B2F21C94-2C0C-4D55-8B13-F4EF6AFF1F9D}" name="Date" dataDxfId="12"/>
    <tableColumn id="2" xr3:uid="{D3461810-8461-42D8-9826-B03DE4B4DF4B}" name="Order_ID" dataDxfId="11"/>
    <tableColumn id="3" xr3:uid="{85B6141F-45B3-4AC7-B28C-BAE46CC5EB31}" name="Customer_Name" dataDxfId="10"/>
    <tableColumn id="4" xr3:uid="{9992FAC5-53E6-45C5-974F-41F373C67B47}" name="City" dataDxfId="9"/>
    <tableColumn id="5" xr3:uid="{848FF1DC-A1D8-4D7B-ABEB-AA0D7B037339}" name="State" dataDxfId="8"/>
    <tableColumn id="6" xr3:uid="{4C65748B-4133-49F0-9C8A-A08047F4CF21}" name="Product" dataDxfId="7"/>
    <tableColumn id="7" xr3:uid="{A32BB657-F39D-4145-8F0A-F5CA16BF17D6}" name="Category" dataDxfId="6"/>
    <tableColumn id="8" xr3:uid="{403316F6-306B-4929-9FC1-C7C8604EDDCF}" name="Sub_Category" dataDxfId="5"/>
    <tableColumn id="9" xr3:uid="{ACB895FD-BBD5-472E-A4E3-1B763FB5DBFC}" name="Quantity" dataDxfId="4"/>
    <tableColumn id="10" xr3:uid="{70A90841-D053-4C19-BC2E-E3A3919DDDB2}" name="Price" dataDxfId="3"/>
    <tableColumn id="11" xr3:uid="{524834F8-9734-4844-9E70-8C76A7719084}" name="Sales" dataDxfId="2"/>
    <tableColumn id="12" xr3:uid="{C503BD39-978F-426F-8449-6976F21FA144}" name="Profit" dataDxfId="1"/>
    <tableColumn id="13" xr3:uid="{AD95E0F2-5AC2-4050-83F5-18E9540D142B}" name="Reg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C2F7-E477-46BF-9D14-127E67011F8A}">
  <dimension ref="A3:B15"/>
  <sheetViews>
    <sheetView workbookViewId="0">
      <selection activeCell="B3" sqref="B3"/>
    </sheetView>
  </sheetViews>
  <sheetFormatPr defaultRowHeight="15" x14ac:dyDescent="0.25"/>
  <cols>
    <col min="1" max="1" width="13.42578125" bestFit="1" customWidth="1"/>
    <col min="2" max="2" width="12.5703125" bestFit="1" customWidth="1"/>
  </cols>
  <sheetData>
    <row r="3" spans="1:2" x14ac:dyDescent="0.25">
      <c r="A3" s="10" t="s">
        <v>81</v>
      </c>
      <c r="B3" t="s">
        <v>83</v>
      </c>
    </row>
    <row r="4" spans="1:2" x14ac:dyDescent="0.25">
      <c r="A4" s="11" t="s">
        <v>29</v>
      </c>
      <c r="B4" s="25">
        <v>22500</v>
      </c>
    </row>
    <row r="5" spans="1:2" x14ac:dyDescent="0.25">
      <c r="A5" s="11" t="s">
        <v>62</v>
      </c>
      <c r="B5" s="25">
        <v>18000</v>
      </c>
    </row>
    <row r="6" spans="1:2" x14ac:dyDescent="0.25">
      <c r="A6" s="11" t="s">
        <v>46</v>
      </c>
      <c r="B6" s="25">
        <v>10000</v>
      </c>
    </row>
    <row r="7" spans="1:2" x14ac:dyDescent="0.25">
      <c r="A7" s="11" t="s">
        <v>56</v>
      </c>
      <c r="B7" s="25">
        <v>13800</v>
      </c>
    </row>
    <row r="8" spans="1:2" x14ac:dyDescent="0.25">
      <c r="A8" s="11" t="s">
        <v>17</v>
      </c>
      <c r="B8" s="25">
        <v>170000</v>
      </c>
    </row>
    <row r="9" spans="1:2" x14ac:dyDescent="0.25">
      <c r="A9" s="11" t="s">
        <v>53</v>
      </c>
      <c r="B9" s="25">
        <v>35000</v>
      </c>
    </row>
    <row r="10" spans="1:2" x14ac:dyDescent="0.25">
      <c r="A10" s="11" t="s">
        <v>59</v>
      </c>
      <c r="B10" s="25">
        <v>15200</v>
      </c>
    </row>
    <row r="11" spans="1:2" x14ac:dyDescent="0.25">
      <c r="A11" s="11" t="s">
        <v>24</v>
      </c>
      <c r="B11" s="25">
        <v>65000</v>
      </c>
    </row>
    <row r="12" spans="1:2" x14ac:dyDescent="0.25">
      <c r="A12" s="11" t="s">
        <v>50</v>
      </c>
      <c r="B12" s="25">
        <v>42000</v>
      </c>
    </row>
    <row r="13" spans="1:2" x14ac:dyDescent="0.25">
      <c r="A13" s="11" t="s">
        <v>37</v>
      </c>
      <c r="B13" s="25">
        <v>15000</v>
      </c>
    </row>
    <row r="14" spans="1:2" x14ac:dyDescent="0.25">
      <c r="A14" s="11" t="s">
        <v>42</v>
      </c>
      <c r="B14" s="25">
        <v>73000</v>
      </c>
    </row>
    <row r="15" spans="1:2" x14ac:dyDescent="0.25">
      <c r="A15" s="11" t="s">
        <v>82</v>
      </c>
      <c r="B15" s="25">
        <v>479500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81D2-35FF-426C-A434-320EEE899471}">
  <dimension ref="A3:B8"/>
  <sheetViews>
    <sheetView workbookViewId="0">
      <selection activeCell="B3" sqref="B3"/>
    </sheetView>
  </sheetViews>
  <sheetFormatPr defaultRowHeight="15" x14ac:dyDescent="0.25"/>
  <cols>
    <col min="1" max="1" width="13.42578125" bestFit="1" customWidth="1"/>
    <col min="2" max="2" width="12.5703125" bestFit="1" customWidth="1"/>
  </cols>
  <sheetData>
    <row r="3" spans="1:2" x14ac:dyDescent="0.25">
      <c r="A3" s="10" t="s">
        <v>81</v>
      </c>
      <c r="B3" t="s">
        <v>83</v>
      </c>
    </row>
    <row r="4" spans="1:2" x14ac:dyDescent="0.25">
      <c r="A4" s="11" t="s">
        <v>35</v>
      </c>
      <c r="B4" s="25">
        <v>126200</v>
      </c>
    </row>
    <row r="5" spans="1:2" x14ac:dyDescent="0.25">
      <c r="A5" s="11" t="s">
        <v>28</v>
      </c>
      <c r="B5" s="25">
        <v>80000</v>
      </c>
    </row>
    <row r="6" spans="1:2" x14ac:dyDescent="0.25">
      <c r="A6" s="11" t="s">
        <v>23</v>
      </c>
      <c r="B6" s="25">
        <v>58300</v>
      </c>
    </row>
    <row r="7" spans="1:2" x14ac:dyDescent="0.25">
      <c r="A7" s="11" t="s">
        <v>15</v>
      </c>
      <c r="B7" s="25">
        <v>215000</v>
      </c>
    </row>
    <row r="8" spans="1:2" x14ac:dyDescent="0.25">
      <c r="A8" s="11" t="s">
        <v>82</v>
      </c>
      <c r="B8" s="25">
        <v>479500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BA83C-0E3B-432E-BD7D-09723F4576B4}">
  <dimension ref="A3:B7"/>
  <sheetViews>
    <sheetView workbookViewId="0">
      <selection activeCell="B3" sqref="B3"/>
    </sheetView>
  </sheetViews>
  <sheetFormatPr defaultRowHeight="15" x14ac:dyDescent="0.25"/>
  <cols>
    <col min="1" max="1" width="13.42578125" bestFit="1" customWidth="1"/>
    <col min="2" max="2" width="12.5703125" bestFit="1" customWidth="1"/>
  </cols>
  <sheetData>
    <row r="3" spans="1:2" x14ac:dyDescent="0.25">
      <c r="A3" s="10" t="s">
        <v>81</v>
      </c>
      <c r="B3" t="s">
        <v>83</v>
      </c>
    </row>
    <row r="4" spans="1:2" x14ac:dyDescent="0.25">
      <c r="A4" s="11" t="s">
        <v>28</v>
      </c>
      <c r="B4" s="25">
        <v>80000</v>
      </c>
    </row>
    <row r="5" spans="1:2" x14ac:dyDescent="0.25">
      <c r="A5" s="11" t="s">
        <v>36</v>
      </c>
      <c r="B5" s="25">
        <v>126200</v>
      </c>
    </row>
    <row r="6" spans="1:2" x14ac:dyDescent="0.25">
      <c r="A6" s="11" t="s">
        <v>16</v>
      </c>
      <c r="B6" s="25">
        <v>273300</v>
      </c>
    </row>
    <row r="7" spans="1:2" x14ac:dyDescent="0.25">
      <c r="A7" s="11" t="s">
        <v>82</v>
      </c>
      <c r="B7" s="25">
        <v>479500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C453-2C4C-4807-9D67-670453BA6371}">
  <dimension ref="A3:B6"/>
  <sheetViews>
    <sheetView workbookViewId="0">
      <selection activeCell="B3" sqref="B3"/>
    </sheetView>
  </sheetViews>
  <sheetFormatPr defaultRowHeight="15" x14ac:dyDescent="0.25"/>
  <cols>
    <col min="1" max="1" width="13.42578125" bestFit="1" customWidth="1"/>
    <col min="2" max="2" width="12.5703125" bestFit="1" customWidth="1"/>
  </cols>
  <sheetData>
    <row r="3" spans="1:2" x14ac:dyDescent="0.25">
      <c r="A3" s="10" t="s">
        <v>81</v>
      </c>
      <c r="B3" t="s">
        <v>83</v>
      </c>
    </row>
    <row r="4" spans="1:2" x14ac:dyDescent="0.25">
      <c r="A4" s="11" t="s">
        <v>18</v>
      </c>
      <c r="B4" s="25">
        <v>382000</v>
      </c>
    </row>
    <row r="5" spans="1:2" x14ac:dyDescent="0.25">
      <c r="A5" s="11" t="s">
        <v>30</v>
      </c>
      <c r="B5" s="25">
        <v>97500</v>
      </c>
    </row>
    <row r="6" spans="1:2" x14ac:dyDescent="0.25">
      <c r="A6" s="11" t="s">
        <v>82</v>
      </c>
      <c r="B6" s="25">
        <v>479500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6A26-BB90-4E2A-9ABD-5F4659413B13}">
  <dimension ref="A3:B10"/>
  <sheetViews>
    <sheetView workbookViewId="0">
      <selection activeCell="B10" sqref="B10"/>
    </sheetView>
  </sheetViews>
  <sheetFormatPr defaultRowHeight="15" x14ac:dyDescent="0.25"/>
  <cols>
    <col min="1" max="1" width="13.42578125" bestFit="1" customWidth="1"/>
    <col min="2" max="2" width="12.5703125" bestFit="1" customWidth="1"/>
  </cols>
  <sheetData>
    <row r="3" spans="1:2" x14ac:dyDescent="0.25">
      <c r="A3" s="10" t="s">
        <v>81</v>
      </c>
      <c r="B3" t="s">
        <v>83</v>
      </c>
    </row>
    <row r="4" spans="1:2" x14ac:dyDescent="0.25">
      <c r="A4" s="11" t="s">
        <v>47</v>
      </c>
      <c r="B4" s="25">
        <v>39000</v>
      </c>
    </row>
    <row r="5" spans="1:2" x14ac:dyDescent="0.25">
      <c r="A5" s="11" t="s">
        <v>19</v>
      </c>
      <c r="B5" s="25">
        <v>205000</v>
      </c>
    </row>
    <row r="6" spans="1:2" x14ac:dyDescent="0.25">
      <c r="A6" s="11" t="s">
        <v>43</v>
      </c>
      <c r="B6" s="25">
        <v>73000</v>
      </c>
    </row>
    <row r="7" spans="1:2" x14ac:dyDescent="0.25">
      <c r="A7" s="11" t="s">
        <v>25</v>
      </c>
      <c r="B7" s="25">
        <v>65000</v>
      </c>
    </row>
    <row r="8" spans="1:2" x14ac:dyDescent="0.25">
      <c r="A8" s="11" t="s">
        <v>31</v>
      </c>
      <c r="B8" s="25">
        <v>64500</v>
      </c>
    </row>
    <row r="9" spans="1:2" x14ac:dyDescent="0.25">
      <c r="A9" s="11" t="s">
        <v>38</v>
      </c>
      <c r="B9" s="25">
        <v>33000</v>
      </c>
    </row>
    <row r="10" spans="1:2" x14ac:dyDescent="0.25">
      <c r="A10" s="11" t="s">
        <v>82</v>
      </c>
      <c r="B10" s="25">
        <v>479500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D4E2-AE35-4CE2-A97B-2A86420E8B7B}">
  <dimension ref="A1:B5"/>
  <sheetViews>
    <sheetView workbookViewId="0">
      <selection activeCell="B1" sqref="B1"/>
    </sheetView>
  </sheetViews>
  <sheetFormatPr defaultRowHeight="15" x14ac:dyDescent="0.25"/>
  <cols>
    <col min="1" max="1" width="13.42578125" bestFit="1" customWidth="1"/>
    <col min="2" max="2" width="12.5703125" bestFit="1" customWidth="1"/>
  </cols>
  <sheetData>
    <row r="1" spans="1:2" x14ac:dyDescent="0.25">
      <c r="A1" s="10" t="s">
        <v>81</v>
      </c>
      <c r="B1" t="s">
        <v>83</v>
      </c>
    </row>
    <row r="2" spans="1:2" x14ac:dyDescent="0.25">
      <c r="A2" s="11" t="s">
        <v>32</v>
      </c>
      <c r="B2" s="25">
        <v>80000</v>
      </c>
    </row>
    <row r="3" spans="1:2" x14ac:dyDescent="0.25">
      <c r="A3" s="11" t="s">
        <v>39</v>
      </c>
      <c r="B3" s="25">
        <v>126200</v>
      </c>
    </row>
    <row r="4" spans="1:2" x14ac:dyDescent="0.25">
      <c r="A4" s="11" t="s">
        <v>20</v>
      </c>
      <c r="B4" s="25">
        <v>273300</v>
      </c>
    </row>
    <row r="5" spans="1:2" x14ac:dyDescent="0.25">
      <c r="A5" s="11" t="s">
        <v>82</v>
      </c>
      <c r="B5" s="25">
        <v>479500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6A85-B9DB-40B5-8D54-B70ACFD9FEDB}">
  <dimension ref="A1:M21"/>
  <sheetViews>
    <sheetView workbookViewId="0">
      <selection activeCell="C24" sqref="C24"/>
    </sheetView>
  </sheetViews>
  <sheetFormatPr defaultRowHeight="15" x14ac:dyDescent="0.25"/>
  <cols>
    <col min="1" max="1" width="10.42578125" bestFit="1" customWidth="1"/>
    <col min="2" max="2" width="9" bestFit="1" customWidth="1"/>
    <col min="3" max="3" width="16.28515625" bestFit="1" customWidth="1"/>
    <col min="4" max="4" width="10" bestFit="1" customWidth="1"/>
    <col min="5" max="5" width="12.42578125" bestFit="1" customWidth="1"/>
    <col min="6" max="6" width="12.140625" bestFit="1" customWidth="1"/>
    <col min="7" max="7" width="10.7109375" customWidth="1"/>
    <col min="8" max="8" width="13.5703125" bestFit="1" customWidth="1"/>
    <col min="9" max="9" width="8.7109375" bestFit="1" customWidth="1"/>
    <col min="10" max="10" width="6" bestFit="1" customWidth="1"/>
    <col min="11" max="11" width="7" bestFit="1" customWidth="1"/>
    <col min="12" max="12" width="6" bestFit="1" customWidth="1"/>
    <col min="13" max="13" width="7.28515625" bestFit="1" customWidth="1"/>
  </cols>
  <sheetData>
    <row r="1" spans="1:13" x14ac:dyDescent="0.25">
      <c r="A1" s="1" t="s">
        <v>0</v>
      </c>
      <c r="B1" s="2" t="s">
        <v>1</v>
      </c>
      <c r="C1" s="2" t="s">
        <v>2</v>
      </c>
      <c r="D1" s="2" t="s">
        <v>3</v>
      </c>
      <c r="E1" s="2" t="s">
        <v>4</v>
      </c>
      <c r="F1" s="2" t="s">
        <v>5</v>
      </c>
      <c r="G1" s="2" t="s">
        <v>6</v>
      </c>
      <c r="H1" s="2" t="s">
        <v>7</v>
      </c>
      <c r="I1" s="2" t="s">
        <v>8</v>
      </c>
      <c r="J1" s="2" t="s">
        <v>9</v>
      </c>
      <c r="K1" s="2" t="s">
        <v>10</v>
      </c>
      <c r="L1" s="2" t="s">
        <v>11</v>
      </c>
      <c r="M1" s="3" t="s">
        <v>12</v>
      </c>
    </row>
    <row r="2" spans="1:13" x14ac:dyDescent="0.25">
      <c r="A2" s="4">
        <v>45292</v>
      </c>
      <c r="B2" s="5" t="s">
        <v>13</v>
      </c>
      <c r="C2" s="5" t="s">
        <v>14</v>
      </c>
      <c r="D2" s="5" t="s">
        <v>15</v>
      </c>
      <c r="E2" s="5" t="s">
        <v>16</v>
      </c>
      <c r="F2" s="5" t="s">
        <v>17</v>
      </c>
      <c r="G2" s="5" t="s">
        <v>18</v>
      </c>
      <c r="H2" s="5" t="s">
        <v>19</v>
      </c>
      <c r="I2" s="5">
        <v>2</v>
      </c>
      <c r="J2" s="5">
        <v>55000</v>
      </c>
      <c r="K2" s="5">
        <v>110000</v>
      </c>
      <c r="L2" s="5">
        <v>11000</v>
      </c>
      <c r="M2" s="6" t="s">
        <v>20</v>
      </c>
    </row>
    <row r="3" spans="1:13" x14ac:dyDescent="0.25">
      <c r="A3" s="4">
        <v>45293</v>
      </c>
      <c r="B3" s="5" t="s">
        <v>21</v>
      </c>
      <c r="C3" s="5" t="s">
        <v>22</v>
      </c>
      <c r="D3" s="5" t="s">
        <v>23</v>
      </c>
      <c r="E3" s="5" t="s">
        <v>16</v>
      </c>
      <c r="F3" s="5" t="s">
        <v>24</v>
      </c>
      <c r="G3" s="5" t="s">
        <v>18</v>
      </c>
      <c r="H3" s="5" t="s">
        <v>25</v>
      </c>
      <c r="I3" s="5">
        <v>1</v>
      </c>
      <c r="J3" s="5">
        <v>25000</v>
      </c>
      <c r="K3" s="5">
        <v>25000</v>
      </c>
      <c r="L3" s="5">
        <v>2500</v>
      </c>
      <c r="M3" s="6" t="s">
        <v>20</v>
      </c>
    </row>
    <row r="4" spans="1:13" x14ac:dyDescent="0.25">
      <c r="A4" s="4">
        <v>45294</v>
      </c>
      <c r="B4" s="5" t="s">
        <v>26</v>
      </c>
      <c r="C4" s="5" t="s">
        <v>27</v>
      </c>
      <c r="D4" s="5" t="s">
        <v>28</v>
      </c>
      <c r="E4" s="5" t="s">
        <v>28</v>
      </c>
      <c r="F4" s="5" t="s">
        <v>29</v>
      </c>
      <c r="G4" s="5" t="s">
        <v>30</v>
      </c>
      <c r="H4" s="5" t="s">
        <v>31</v>
      </c>
      <c r="I4" s="5">
        <v>4</v>
      </c>
      <c r="J4" s="5">
        <v>3000</v>
      </c>
      <c r="K4" s="5">
        <v>12000</v>
      </c>
      <c r="L4" s="5">
        <v>1200</v>
      </c>
      <c r="M4" s="6" t="s">
        <v>32</v>
      </c>
    </row>
    <row r="5" spans="1:13" x14ac:dyDescent="0.25">
      <c r="A5" s="4">
        <v>45295</v>
      </c>
      <c r="B5" s="5" t="s">
        <v>33</v>
      </c>
      <c r="C5" s="5" t="s">
        <v>34</v>
      </c>
      <c r="D5" s="5" t="s">
        <v>35</v>
      </c>
      <c r="E5" s="5" t="s">
        <v>36</v>
      </c>
      <c r="F5" s="5" t="s">
        <v>37</v>
      </c>
      <c r="G5" s="5" t="s">
        <v>30</v>
      </c>
      <c r="H5" s="5" t="s">
        <v>38</v>
      </c>
      <c r="I5" s="5">
        <v>1</v>
      </c>
      <c r="J5" s="5">
        <v>7000</v>
      </c>
      <c r="K5" s="5">
        <v>7000</v>
      </c>
      <c r="L5" s="5">
        <v>700</v>
      </c>
      <c r="M5" s="6" t="s">
        <v>39</v>
      </c>
    </row>
    <row r="6" spans="1:13" x14ac:dyDescent="0.25">
      <c r="A6" s="4">
        <v>45296</v>
      </c>
      <c r="B6" s="5" t="s">
        <v>40</v>
      </c>
      <c r="C6" s="5" t="s">
        <v>41</v>
      </c>
      <c r="D6" s="5" t="s">
        <v>15</v>
      </c>
      <c r="E6" s="5" t="s">
        <v>16</v>
      </c>
      <c r="F6" s="5" t="s">
        <v>42</v>
      </c>
      <c r="G6" s="5" t="s">
        <v>18</v>
      </c>
      <c r="H6" s="5" t="s">
        <v>43</v>
      </c>
      <c r="I6" s="5">
        <v>3</v>
      </c>
      <c r="J6" s="5">
        <v>15000</v>
      </c>
      <c r="K6" s="5">
        <v>45000</v>
      </c>
      <c r="L6" s="5">
        <v>4500</v>
      </c>
      <c r="M6" s="6" t="s">
        <v>20</v>
      </c>
    </row>
    <row r="7" spans="1:13" x14ac:dyDescent="0.25">
      <c r="A7" s="4">
        <v>45297</v>
      </c>
      <c r="B7" s="5" t="s">
        <v>44</v>
      </c>
      <c r="C7" s="5" t="s">
        <v>45</v>
      </c>
      <c r="D7" s="5" t="s">
        <v>23</v>
      </c>
      <c r="E7" s="5" t="s">
        <v>16</v>
      </c>
      <c r="F7" s="5" t="s">
        <v>46</v>
      </c>
      <c r="G7" s="5" t="s">
        <v>18</v>
      </c>
      <c r="H7" s="5" t="s">
        <v>47</v>
      </c>
      <c r="I7" s="5">
        <v>5</v>
      </c>
      <c r="J7" s="5">
        <v>2000</v>
      </c>
      <c r="K7" s="5">
        <v>10000</v>
      </c>
      <c r="L7" s="5">
        <v>1000</v>
      </c>
      <c r="M7" s="6" t="s">
        <v>20</v>
      </c>
    </row>
    <row r="8" spans="1:13" x14ac:dyDescent="0.25">
      <c r="A8" s="4">
        <v>45298</v>
      </c>
      <c r="B8" s="5" t="s">
        <v>48</v>
      </c>
      <c r="C8" s="5" t="s">
        <v>49</v>
      </c>
      <c r="D8" s="5" t="s">
        <v>28</v>
      </c>
      <c r="E8" s="5" t="s">
        <v>28</v>
      </c>
      <c r="F8" s="5" t="s">
        <v>50</v>
      </c>
      <c r="G8" s="5" t="s">
        <v>30</v>
      </c>
      <c r="H8" s="5" t="s">
        <v>31</v>
      </c>
      <c r="I8" s="5">
        <v>1</v>
      </c>
      <c r="J8" s="5">
        <v>20000</v>
      </c>
      <c r="K8" s="5">
        <v>20000</v>
      </c>
      <c r="L8" s="5">
        <v>2000</v>
      </c>
      <c r="M8" s="6" t="s">
        <v>32</v>
      </c>
    </row>
    <row r="9" spans="1:13" x14ac:dyDescent="0.25">
      <c r="A9" s="4">
        <v>45299</v>
      </c>
      <c r="B9" s="5" t="s">
        <v>51</v>
      </c>
      <c r="C9" s="5" t="s">
        <v>52</v>
      </c>
      <c r="D9" s="5" t="s">
        <v>35</v>
      </c>
      <c r="E9" s="5" t="s">
        <v>36</v>
      </c>
      <c r="F9" s="5" t="s">
        <v>53</v>
      </c>
      <c r="G9" s="5" t="s">
        <v>18</v>
      </c>
      <c r="H9" s="5" t="s">
        <v>19</v>
      </c>
      <c r="I9" s="5">
        <v>2</v>
      </c>
      <c r="J9" s="5">
        <v>12000</v>
      </c>
      <c r="K9" s="5">
        <v>24000</v>
      </c>
      <c r="L9" s="5">
        <v>2400</v>
      </c>
      <c r="M9" s="6" t="s">
        <v>39</v>
      </c>
    </row>
    <row r="10" spans="1:13" x14ac:dyDescent="0.25">
      <c r="A10" s="4">
        <v>45300</v>
      </c>
      <c r="B10" s="5" t="s">
        <v>54</v>
      </c>
      <c r="C10" s="5" t="s">
        <v>55</v>
      </c>
      <c r="D10" s="5" t="s">
        <v>15</v>
      </c>
      <c r="E10" s="5" t="s">
        <v>16</v>
      </c>
      <c r="F10" s="5" t="s">
        <v>56</v>
      </c>
      <c r="G10" s="5" t="s">
        <v>18</v>
      </c>
      <c r="H10" s="5" t="s">
        <v>47</v>
      </c>
      <c r="I10" s="5">
        <v>6</v>
      </c>
      <c r="J10" s="5">
        <v>1500</v>
      </c>
      <c r="K10" s="5">
        <v>9000</v>
      </c>
      <c r="L10" s="5">
        <v>900</v>
      </c>
      <c r="M10" s="6" t="s">
        <v>20</v>
      </c>
    </row>
    <row r="11" spans="1:13" x14ac:dyDescent="0.25">
      <c r="A11" s="4">
        <v>45301</v>
      </c>
      <c r="B11" s="5" t="s">
        <v>57</v>
      </c>
      <c r="C11" s="5" t="s">
        <v>58</v>
      </c>
      <c r="D11" s="5" t="s">
        <v>23</v>
      </c>
      <c r="E11" s="5" t="s">
        <v>16</v>
      </c>
      <c r="F11" s="5" t="s">
        <v>59</v>
      </c>
      <c r="G11" s="5" t="s">
        <v>18</v>
      </c>
      <c r="H11" s="5" t="s">
        <v>47</v>
      </c>
      <c r="I11" s="5">
        <v>10</v>
      </c>
      <c r="J11" s="5">
        <v>800</v>
      </c>
      <c r="K11" s="5">
        <v>8000</v>
      </c>
      <c r="L11" s="5">
        <v>800</v>
      </c>
      <c r="M11" s="6" t="s">
        <v>20</v>
      </c>
    </row>
    <row r="12" spans="1:13" x14ac:dyDescent="0.25">
      <c r="A12" s="4">
        <v>45302</v>
      </c>
      <c r="B12" s="5" t="s">
        <v>60</v>
      </c>
      <c r="C12" s="5" t="s">
        <v>61</v>
      </c>
      <c r="D12" s="5" t="s">
        <v>28</v>
      </c>
      <c r="E12" s="5" t="s">
        <v>28</v>
      </c>
      <c r="F12" s="5" t="s">
        <v>62</v>
      </c>
      <c r="G12" s="5" t="s">
        <v>30</v>
      </c>
      <c r="H12" s="5" t="s">
        <v>38</v>
      </c>
      <c r="I12" s="5">
        <v>2</v>
      </c>
      <c r="J12" s="5">
        <v>9000</v>
      </c>
      <c r="K12" s="5">
        <v>18000</v>
      </c>
      <c r="L12" s="5">
        <v>1800</v>
      </c>
      <c r="M12" s="6" t="s">
        <v>32</v>
      </c>
    </row>
    <row r="13" spans="1:13" x14ac:dyDescent="0.25">
      <c r="A13" s="4">
        <v>45303</v>
      </c>
      <c r="B13" s="5" t="s">
        <v>63</v>
      </c>
      <c r="C13" s="5" t="s">
        <v>64</v>
      </c>
      <c r="D13" s="5" t="s">
        <v>35</v>
      </c>
      <c r="E13" s="5" t="s">
        <v>36</v>
      </c>
      <c r="F13" s="5" t="s">
        <v>17</v>
      </c>
      <c r="G13" s="5" t="s">
        <v>18</v>
      </c>
      <c r="H13" s="5" t="s">
        <v>19</v>
      </c>
      <c r="I13" s="5">
        <v>1</v>
      </c>
      <c r="J13" s="5">
        <v>60000</v>
      </c>
      <c r="K13" s="5">
        <v>60000</v>
      </c>
      <c r="L13" s="5">
        <v>6000</v>
      </c>
      <c r="M13" s="6" t="s">
        <v>39</v>
      </c>
    </row>
    <row r="14" spans="1:13" x14ac:dyDescent="0.25">
      <c r="A14" s="4">
        <v>45304</v>
      </c>
      <c r="B14" s="5" t="s">
        <v>65</v>
      </c>
      <c r="C14" s="5" t="s">
        <v>66</v>
      </c>
      <c r="D14" s="5" t="s">
        <v>15</v>
      </c>
      <c r="E14" s="5" t="s">
        <v>16</v>
      </c>
      <c r="F14" s="5" t="s">
        <v>24</v>
      </c>
      <c r="G14" s="5" t="s">
        <v>18</v>
      </c>
      <c r="H14" s="5" t="s">
        <v>25</v>
      </c>
      <c r="I14" s="5">
        <v>2</v>
      </c>
      <c r="J14" s="5">
        <v>20000</v>
      </c>
      <c r="K14" s="5">
        <v>40000</v>
      </c>
      <c r="L14" s="5">
        <v>4000</v>
      </c>
      <c r="M14" s="6" t="s">
        <v>20</v>
      </c>
    </row>
    <row r="15" spans="1:13" x14ac:dyDescent="0.25">
      <c r="A15" s="4">
        <v>45305</v>
      </c>
      <c r="B15" s="5" t="s">
        <v>67</v>
      </c>
      <c r="C15" s="5" t="s">
        <v>68</v>
      </c>
      <c r="D15" s="5" t="s">
        <v>23</v>
      </c>
      <c r="E15" s="5" t="s">
        <v>16</v>
      </c>
      <c r="F15" s="5" t="s">
        <v>29</v>
      </c>
      <c r="G15" s="5" t="s">
        <v>30</v>
      </c>
      <c r="H15" s="5" t="s">
        <v>31</v>
      </c>
      <c r="I15" s="5">
        <v>3</v>
      </c>
      <c r="J15" s="5">
        <v>3500</v>
      </c>
      <c r="K15" s="5">
        <v>10500</v>
      </c>
      <c r="L15" s="5">
        <v>1050</v>
      </c>
      <c r="M15" s="6" t="s">
        <v>20</v>
      </c>
    </row>
    <row r="16" spans="1:13" x14ac:dyDescent="0.25">
      <c r="A16" s="4">
        <v>45306</v>
      </c>
      <c r="B16" s="5" t="s">
        <v>69</v>
      </c>
      <c r="C16" s="5" t="s">
        <v>70</v>
      </c>
      <c r="D16" s="5" t="s">
        <v>28</v>
      </c>
      <c r="E16" s="5" t="s">
        <v>28</v>
      </c>
      <c r="F16" s="5" t="s">
        <v>37</v>
      </c>
      <c r="G16" s="5" t="s">
        <v>30</v>
      </c>
      <c r="H16" s="5" t="s">
        <v>38</v>
      </c>
      <c r="I16" s="5">
        <v>1</v>
      </c>
      <c r="J16" s="5">
        <v>8000</v>
      </c>
      <c r="K16" s="5">
        <v>8000</v>
      </c>
      <c r="L16" s="5">
        <v>800</v>
      </c>
      <c r="M16" s="6" t="s">
        <v>32</v>
      </c>
    </row>
    <row r="17" spans="1:13" x14ac:dyDescent="0.25">
      <c r="A17" s="4">
        <v>45307</v>
      </c>
      <c r="B17" s="5" t="s">
        <v>71</v>
      </c>
      <c r="C17" s="5" t="s">
        <v>72</v>
      </c>
      <c r="D17" s="5" t="s">
        <v>35</v>
      </c>
      <c r="E17" s="5" t="s">
        <v>36</v>
      </c>
      <c r="F17" s="5" t="s">
        <v>42</v>
      </c>
      <c r="G17" s="5" t="s">
        <v>18</v>
      </c>
      <c r="H17" s="5" t="s">
        <v>43</v>
      </c>
      <c r="I17" s="5">
        <v>2</v>
      </c>
      <c r="J17" s="5">
        <v>14000</v>
      </c>
      <c r="K17" s="5">
        <v>28000</v>
      </c>
      <c r="L17" s="5">
        <v>2800</v>
      </c>
      <c r="M17" s="6" t="s">
        <v>39</v>
      </c>
    </row>
    <row r="18" spans="1:13" x14ac:dyDescent="0.25">
      <c r="A18" s="4">
        <v>45308</v>
      </c>
      <c r="B18" s="5" t="s">
        <v>73</v>
      </c>
      <c r="C18" s="5" t="s">
        <v>74</v>
      </c>
      <c r="D18" s="5" t="s">
        <v>15</v>
      </c>
      <c r="E18" s="5" t="s">
        <v>16</v>
      </c>
      <c r="F18" s="5" t="s">
        <v>53</v>
      </c>
      <c r="G18" s="5" t="s">
        <v>18</v>
      </c>
      <c r="H18" s="5" t="s">
        <v>19</v>
      </c>
      <c r="I18" s="5">
        <v>1</v>
      </c>
      <c r="J18" s="5">
        <v>11000</v>
      </c>
      <c r="K18" s="5">
        <v>11000</v>
      </c>
      <c r="L18" s="5">
        <v>1100</v>
      </c>
      <c r="M18" s="6" t="s">
        <v>20</v>
      </c>
    </row>
    <row r="19" spans="1:13" x14ac:dyDescent="0.25">
      <c r="A19" s="4">
        <v>45309</v>
      </c>
      <c r="B19" s="5" t="s">
        <v>75</v>
      </c>
      <c r="C19" s="5" t="s">
        <v>76</v>
      </c>
      <c r="D19" s="5" t="s">
        <v>23</v>
      </c>
      <c r="E19" s="5" t="s">
        <v>16</v>
      </c>
      <c r="F19" s="5" t="s">
        <v>56</v>
      </c>
      <c r="G19" s="5" t="s">
        <v>18</v>
      </c>
      <c r="H19" s="5" t="s">
        <v>47</v>
      </c>
      <c r="I19" s="5">
        <v>4</v>
      </c>
      <c r="J19" s="5">
        <v>1200</v>
      </c>
      <c r="K19" s="5">
        <v>4800</v>
      </c>
      <c r="L19" s="5">
        <v>480</v>
      </c>
      <c r="M19" s="6" t="s">
        <v>20</v>
      </c>
    </row>
    <row r="20" spans="1:13" x14ac:dyDescent="0.25">
      <c r="A20" s="4">
        <v>45310</v>
      </c>
      <c r="B20" s="5" t="s">
        <v>77</v>
      </c>
      <c r="C20" s="5" t="s">
        <v>78</v>
      </c>
      <c r="D20" s="5" t="s">
        <v>28</v>
      </c>
      <c r="E20" s="5" t="s">
        <v>28</v>
      </c>
      <c r="F20" s="5" t="s">
        <v>50</v>
      </c>
      <c r="G20" s="5" t="s">
        <v>30</v>
      </c>
      <c r="H20" s="5" t="s">
        <v>31</v>
      </c>
      <c r="I20" s="5">
        <v>1</v>
      </c>
      <c r="J20" s="5">
        <v>22000</v>
      </c>
      <c r="K20" s="5">
        <v>22000</v>
      </c>
      <c r="L20" s="5">
        <v>2200</v>
      </c>
      <c r="M20" s="6" t="s">
        <v>32</v>
      </c>
    </row>
    <row r="21" spans="1:13" x14ac:dyDescent="0.25">
      <c r="A21" s="7">
        <v>45311</v>
      </c>
      <c r="B21" s="8" t="s">
        <v>79</v>
      </c>
      <c r="C21" s="8" t="s">
        <v>80</v>
      </c>
      <c r="D21" s="8" t="s">
        <v>35</v>
      </c>
      <c r="E21" s="8" t="s">
        <v>36</v>
      </c>
      <c r="F21" s="8" t="s">
        <v>59</v>
      </c>
      <c r="G21" s="8" t="s">
        <v>18</v>
      </c>
      <c r="H21" s="8" t="s">
        <v>47</v>
      </c>
      <c r="I21" s="8">
        <v>8</v>
      </c>
      <c r="J21" s="8">
        <v>900</v>
      </c>
      <c r="K21" s="8">
        <v>7200</v>
      </c>
      <c r="L21" s="8">
        <v>720</v>
      </c>
      <c r="M21" s="9" t="s">
        <v>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7E57-9635-4A2A-92D1-16E8B1A8BA89}">
  <dimension ref="A1:X5"/>
  <sheetViews>
    <sheetView tabSelected="1" workbookViewId="0">
      <selection activeCell="V3" sqref="V3"/>
    </sheetView>
  </sheetViews>
  <sheetFormatPr defaultRowHeight="15" x14ac:dyDescent="0.25"/>
  <cols>
    <col min="1" max="16384" width="9.140625" style="12"/>
  </cols>
  <sheetData>
    <row r="1" spans="1:24" ht="15" customHeight="1" x14ac:dyDescent="0.25">
      <c r="A1" s="13" t="s">
        <v>84</v>
      </c>
      <c r="B1" s="14"/>
      <c r="C1" s="14"/>
      <c r="D1" s="14"/>
      <c r="E1" s="14"/>
      <c r="F1" s="14"/>
      <c r="G1" s="14"/>
      <c r="H1" s="14"/>
      <c r="I1" s="14"/>
      <c r="J1" s="14"/>
      <c r="K1" s="14"/>
      <c r="L1" s="14"/>
      <c r="M1" s="14"/>
      <c r="N1" s="14"/>
      <c r="O1" s="14"/>
      <c r="P1" s="14"/>
      <c r="Q1" s="14"/>
      <c r="R1" s="14"/>
      <c r="S1" s="14"/>
      <c r="T1" s="14"/>
      <c r="U1" s="14"/>
      <c r="V1" s="14"/>
      <c r="W1" s="14"/>
      <c r="X1" s="15"/>
    </row>
    <row r="2" spans="1:24" ht="15.75" customHeight="1" thickBot="1" x14ac:dyDescent="0.3">
      <c r="A2" s="16"/>
      <c r="B2" s="17"/>
      <c r="C2" s="17"/>
      <c r="D2" s="17"/>
      <c r="E2" s="17"/>
      <c r="F2" s="17"/>
      <c r="G2" s="17"/>
      <c r="H2" s="17"/>
      <c r="I2" s="17"/>
      <c r="J2" s="17"/>
      <c r="K2" s="17"/>
      <c r="L2" s="17"/>
      <c r="M2" s="17"/>
      <c r="N2" s="17"/>
      <c r="O2" s="17"/>
      <c r="P2" s="17"/>
      <c r="Q2" s="17"/>
      <c r="R2" s="17"/>
      <c r="S2" s="17"/>
      <c r="T2" s="17"/>
      <c r="U2" s="17"/>
      <c r="V2" s="17"/>
      <c r="W2" s="17"/>
      <c r="X2" s="18"/>
    </row>
    <row r="3" spans="1:24" ht="15.75" thickBot="1" x14ac:dyDescent="0.3"/>
    <row r="4" spans="1:24" x14ac:dyDescent="0.25">
      <c r="C4" s="19" t="s">
        <v>85</v>
      </c>
      <c r="D4" s="20"/>
      <c r="E4" s="21"/>
      <c r="G4" s="19" t="s">
        <v>88</v>
      </c>
      <c r="H4" s="20"/>
      <c r="I4" s="21"/>
      <c r="K4" s="19" t="s">
        <v>86</v>
      </c>
      <c r="L4" s="20"/>
      <c r="M4" s="21"/>
      <c r="O4" s="19" t="s">
        <v>89</v>
      </c>
      <c r="P4" s="20"/>
      <c r="Q4" s="21"/>
      <c r="S4" s="19" t="s">
        <v>87</v>
      </c>
      <c r="T4" s="20"/>
      <c r="U4" s="21"/>
    </row>
    <row r="5" spans="1:24" ht="15.75" thickBot="1" x14ac:dyDescent="0.3">
      <c r="C5" s="22">
        <f>SUM(sales_data!K2:K21)</f>
        <v>479500</v>
      </c>
      <c r="D5" s="23"/>
      <c r="E5" s="24"/>
      <c r="G5" s="22">
        <v>20</v>
      </c>
      <c r="H5" s="23"/>
      <c r="I5" s="24"/>
      <c r="K5" s="22">
        <f>SUM(sales_data!I2:I21)</f>
        <v>60</v>
      </c>
      <c r="L5" s="23"/>
      <c r="M5" s="24"/>
      <c r="O5" s="22">
        <v>20</v>
      </c>
      <c r="P5" s="23"/>
      <c r="Q5" s="24"/>
      <c r="S5" s="22">
        <f>SUM(sales_data!L2:L21)</f>
        <v>47950</v>
      </c>
      <c r="T5" s="23"/>
      <c r="U5" s="24"/>
    </row>
  </sheetData>
  <mergeCells count="11">
    <mergeCell ref="A1:X2"/>
    <mergeCell ref="C4:E4"/>
    <mergeCell ref="C5:E5"/>
    <mergeCell ref="K4:M4"/>
    <mergeCell ref="K5:M5"/>
    <mergeCell ref="S4:U4"/>
    <mergeCell ref="S5:U5"/>
    <mergeCell ref="O4:Q4"/>
    <mergeCell ref="O5:Q5"/>
    <mergeCell ref="G4:I4"/>
    <mergeCell ref="G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vt:lpstr>
      <vt:lpstr>city</vt:lpstr>
      <vt:lpstr>state</vt:lpstr>
      <vt:lpstr>category</vt:lpstr>
      <vt:lpstr>sub_category</vt:lpstr>
      <vt:lpstr>region</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muhammadakmal jamadar</cp:lastModifiedBy>
  <dcterms:created xsi:type="dcterms:W3CDTF">2026-05-05T07:23:05Z</dcterms:created>
  <dcterms:modified xsi:type="dcterms:W3CDTF">2026-05-05T11:01:07Z</dcterms:modified>
</cp:coreProperties>
</file>